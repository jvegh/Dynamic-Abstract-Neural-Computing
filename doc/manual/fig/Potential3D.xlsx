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<sst xmlns="http://schemas.openxmlformats.org/spreadsheetml/2006/main" count="10" uniqueCount="10">
  <si>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U(electrix)</t>
  </si>
  <si>
    <t xml:space="preserve">First term </t>
  </si>
  <si>
    <t xml:space="preserve">Na(out)</t>
  </si>
  <si>
    <t xml:space="preserve">K(out)</t>
  </si>
  <si>
    <t xml:space="preserve">C(sum)</t>
  </si>
  <si>
    <t xml:space="preserve">Na(in)</t>
  </si>
  <si>
    <t xml:space="preserve">K(in)</t>
  </si>
  <si>
    <t xml:space="preserve">V(in)</t>
  </si>
  <si>
    <t xml:space="preserve">U(Membr)</t>
  </si>
  <si>
    <t xml:space="preserve">U(actual)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</si>
</sst>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F1" s="1" t="s">
        <v>0</v>
      </c>
      <c r="G1" s="1" t="n">
        <v>21</v>
      </c>
    </row>
    <row r="2" customFormat="false" ht="12.8" hidden="false" customHeight="false" outlineLevel="0" collapsed="false">
      <c r="F2" s="1" t="s">
        <v>1</v>
      </c>
      <c r="G2" s="1" t="n">
        <f aca="false">G1/2/58</f>
        <v>0.181034482758621</v>
      </c>
    </row>
    <row r="3" customFormat="false" ht="12.8" hidden="false" customHeight="false" outlineLevel="0" collapsed="false">
      <c r="F3" s="1" t="s">
        <v>2</v>
      </c>
      <c r="G3" s="0" t="n">
        <v>440</v>
      </c>
    </row>
    <row r="4" customFormat="false" ht="12.8" hidden="false" customHeight="false" outlineLevel="0" collapsed="false">
      <c r="F4" s="0" t="s">
        <v>3</v>
      </c>
      <c r="G4" s="0" t="n">
        <v>50</v>
      </c>
    </row>
    <row r="5" customFormat="false" ht="12.8" hidden="false" customHeight="false" outlineLevel="0" collapsed="false">
      <c r="F5" s="0" t="s">
        <v>4</v>
      </c>
      <c r="G5" s="0" t="n">
        <v>460</v>
      </c>
    </row>
    <row r="6" customFormat="false" ht="12.8" hidden="false" customHeight="false" outlineLevel="0" collapsed="false">
      <c r="A6" s="0" t="s">
        <v>5</v>
      </c>
      <c r="B6" s="0" t="s">
        <v>6</v>
      </c>
      <c r="C6" s="0" t="s">
        <v>7</v>
      </c>
      <c r="F6" s="0" t="s">
        <v>8</v>
      </c>
      <c r="G6" s="0" t="n">
        <f aca="false">-21.5/2/58</f>
        <v>-0.185344827586207</v>
      </c>
    </row>
    <row r="7" customFormat="false" ht="12.8" hidden="false" customHeight="false" outlineLevel="0" collapsed="false">
      <c r="A7" s="0" t="n">
        <v>20</v>
      </c>
      <c r="D7" s="0" t="n">
        <f aca="false">LOG10($G$3/A7)</f>
        <v>1.34242268082221</v>
      </c>
      <c r="E7" s="0" t="n">
        <f aca="false">10^3</f>
        <v>1000</v>
      </c>
      <c r="F7" s="0" t="s">
        <v>9</v>
      </c>
      <c r="G7" s="0" t="n">
        <f aca="false">-(21.5+100)/2/58</f>
        <v>-1.04741379310345</v>
      </c>
    </row>
    <row r="8" customFormat="false" ht="12.8" hidden="false" customHeight="false" outlineLevel="0" collapsed="false">
      <c r="D8" s="0" t="n">
        <f aca="false">10^($G$6+LOG10($G$3/A7))</f>
        <v>14.3574678756817</v>
      </c>
      <c r="E8" s="0" t="n">
        <f aca="false">LOG10(1000)</f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2025-06-25T17:00:42Z</dcterms:created>
  <dc:creator>VJ</dc:creator>
  <dc:description/>
  <dc:language>hu-HU</dc:language>
  <cp:lastModifiedBy>VJ</cp:lastModifiedBy>
  <dcterms:modified xsi:type="dcterms:W3CDTF">2025-06-30T19:12:40Z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